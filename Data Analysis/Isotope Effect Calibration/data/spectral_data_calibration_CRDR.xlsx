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/Documents/PhD/Data/ES125/"/>
    </mc:Choice>
  </mc:AlternateContent>
  <xr:revisionPtr revIDLastSave="0" documentId="13_ncr:1_{0B3EBDCD-E56F-AC41-9F3D-83F345383746}" xr6:coauthVersionLast="47" xr6:coauthVersionMax="47" xr10:uidLastSave="{00000000-0000-0000-0000-000000000000}"/>
  <bookViews>
    <workbookView xWindow="5180" yWindow="500" windowWidth="28040" windowHeight="16940" xr2:uid="{4D59D14A-AA85-544D-B973-141937A9B4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B30" i="1"/>
  <c r="C29" i="1"/>
  <c r="B29" i="1"/>
  <c r="B27" i="1"/>
  <c r="C27" i="1"/>
  <c r="C26" i="1"/>
  <c r="B26" i="1"/>
  <c r="G29" i="1"/>
  <c r="G30" i="1"/>
  <c r="G27" i="1"/>
  <c r="G26" i="1"/>
  <c r="C24" i="1"/>
  <c r="C23" i="1"/>
  <c r="B24" i="1"/>
  <c r="B23" i="1"/>
  <c r="C18" i="1"/>
  <c r="B18" i="1"/>
  <c r="B20" i="1"/>
  <c r="B19" i="1"/>
  <c r="D22" i="1"/>
  <c r="E18" i="1"/>
  <c r="E19" i="1"/>
  <c r="C19" i="1" s="1"/>
  <c r="E20" i="1"/>
  <c r="C20" i="1" s="1"/>
  <c r="F17" i="1"/>
  <c r="C17" i="1"/>
  <c r="F2" i="1"/>
  <c r="E2" i="1"/>
  <c r="D2" i="1"/>
  <c r="F4" i="1" s="1"/>
  <c r="E4" i="1"/>
  <c r="E5" i="1"/>
  <c r="E6" i="1"/>
  <c r="E7" i="1"/>
  <c r="E3" i="1"/>
  <c r="M2" i="1"/>
  <c r="D4" i="1" s="1"/>
  <c r="E22" i="1" l="1"/>
  <c r="D3" i="1"/>
  <c r="F3" i="1" s="1"/>
  <c r="D7" i="1"/>
  <c r="F7" i="1" s="1"/>
  <c r="D6" i="1"/>
  <c r="F6" i="1" s="1"/>
  <c r="D5" i="1"/>
  <c r="F5" i="1" s="1"/>
</calcChain>
</file>

<file path=xl/sharedStrings.xml><?xml version="1.0" encoding="utf-8"?>
<sst xmlns="http://schemas.openxmlformats.org/spreadsheetml/2006/main" count="41" uniqueCount="29">
  <si>
    <t>Spectrum Title</t>
  </si>
  <si>
    <t>Bromo-Benz</t>
  </si>
  <si>
    <t>BromoBenzD</t>
  </si>
  <si>
    <t>ACN</t>
  </si>
  <si>
    <t>D2O</t>
  </si>
  <si>
    <t>ES125-hd250</t>
  </si>
  <si>
    <t>ES125-hd000</t>
  </si>
  <si>
    <t>SolvA_1</t>
  </si>
  <si>
    <t>SolvB_1</t>
  </si>
  <si>
    <t>SolvC_1</t>
  </si>
  <si>
    <t>SoldD_1</t>
  </si>
  <si>
    <t>SolvE_1</t>
  </si>
  <si>
    <t>ACN (ml)</t>
  </si>
  <si>
    <t>D2O (ml)</t>
  </si>
  <si>
    <t>molar_ACN</t>
  </si>
  <si>
    <t>Molar_D2O</t>
  </si>
  <si>
    <t>density</t>
  </si>
  <si>
    <t>mW</t>
  </si>
  <si>
    <t>ok</t>
  </si>
  <si>
    <t>ES125-hd125</t>
  </si>
  <si>
    <t>ES125-hd160</t>
  </si>
  <si>
    <t>ES125-hd080</t>
  </si>
  <si>
    <t>ES125-LODH-1</t>
  </si>
  <si>
    <t>ES125-LODD-2</t>
  </si>
  <si>
    <t>ES125-LODH-2</t>
  </si>
  <si>
    <t>ES125-LODD-1</t>
  </si>
  <si>
    <t>ES125-LODD-3</t>
  </si>
  <si>
    <t>ES125-LODH-3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</si>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</sst>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04F2-C978-5949-948D-47E23244B6DB}">
  <dimension ref="A1:M30"/>
  <sheetViews>
    <sheetView tabSelected="1" workbookViewId="0">
      <selection activeCell="M5" sqref="M5"/>
    </sheetView>
  </sheetViews>
  <sheetFormatPr baseColWidth="10" defaultRowHeight="16" x14ac:dyDescent="0.2"/>
  <cols>
    <col min="1" max="1" width="12.83203125" bestFit="1" customWidth="1"/>
    <col min="2" max="2" width="11.1640625" bestFit="1" customWidth="1"/>
    <col min="3" max="3" width="11.83203125" bestFit="1" customWidth="1"/>
    <col min="4" max="4" width="12.1640625" bestFit="1" customWidth="1"/>
    <col min="5" max="5" width="10.33203125" bestFit="1" customWidth="1"/>
    <col min="6" max="6" width="12.1640625" bestFit="1" customWidth="1"/>
  </cols>
  <sheetData>
    <row r="1" spans="1:13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  <c r="L1" t="s">
        <v>16</v>
      </c>
      <c r="M1" t="s">
        <v>17</v>
      </c>
    </row>
    <row r="2" spans="1:13" x14ac:dyDescent="0.2">
      <c r="B2">
        <v>1</v>
      </c>
      <c r="C2">
        <v>0</v>
      </c>
      <c r="D2">
        <f>(B2*$L$2)/($M$2*(B2+C2)*0.001)</f>
        <v>19.26829268292683</v>
      </c>
      <c r="E2">
        <f>(C2*$L$3)/($M$3*(B2+C2)*0.001)</f>
        <v>0</v>
      </c>
      <c r="F2">
        <f>1000</f>
        <v>1000</v>
      </c>
      <c r="K2" t="s">
        <v>3</v>
      </c>
      <c r="L2">
        <v>0.79</v>
      </c>
      <c r="M2">
        <f>12+12+3+14</f>
        <v>41</v>
      </c>
    </row>
    <row r="3" spans="1:13" x14ac:dyDescent="0.2">
      <c r="A3" t="s">
        <v>7</v>
      </c>
      <c r="B3">
        <v>0.75</v>
      </c>
      <c r="C3">
        <v>0.25</v>
      </c>
      <c r="D3">
        <f>(B3*$L$2)/($M$2*(B3+C3)*0.001)</f>
        <v>14.451219512195122</v>
      </c>
      <c r="E3">
        <f>(C3*$L$3)/($M$3*(B3+C3)*0.001)</f>
        <v>13.875000000000002</v>
      </c>
      <c r="F3">
        <f>$F$2*($D$2/D3)</f>
        <v>1333.3333333333335</v>
      </c>
      <c r="G3" t="s">
        <v>18</v>
      </c>
      <c r="K3" t="s">
        <v>4</v>
      </c>
      <c r="L3">
        <v>1.1100000000000001</v>
      </c>
      <c r="M3">
        <v>20</v>
      </c>
    </row>
    <row r="4" spans="1:13" x14ac:dyDescent="0.2">
      <c r="A4" t="s">
        <v>8</v>
      </c>
      <c r="B4">
        <v>0.8</v>
      </c>
      <c r="C4">
        <v>0.2</v>
      </c>
      <c r="D4">
        <f>(B4*$L$2)/($M$2*(B4+C4)*0.001)</f>
        <v>15.414634146341466</v>
      </c>
      <c r="E4">
        <f t="shared" ref="E4:E7" si="0">(C4*$L$3)/($M$3*(B4+C4)*0.001)</f>
        <v>11.100000000000001</v>
      </c>
      <c r="F4">
        <f>$F$2*($D$2/D4)</f>
        <v>1249.9999999999998</v>
      </c>
      <c r="G4" t="s">
        <v>18</v>
      </c>
    </row>
    <row r="5" spans="1:13" x14ac:dyDescent="0.2">
      <c r="A5" t="s">
        <v>9</v>
      </c>
      <c r="B5">
        <v>0.85</v>
      </c>
      <c r="C5">
        <v>0.15</v>
      </c>
      <c r="D5">
        <f>(B5*$L$2)/($M$2*(B5+C5)*0.001)</f>
        <v>16.378048780487802</v>
      </c>
      <c r="E5">
        <f t="shared" si="0"/>
        <v>8.3250000000000011</v>
      </c>
      <c r="F5">
        <f>$F$2*($D$2/D5)</f>
        <v>1176.4705882352944</v>
      </c>
      <c r="G5" t="s">
        <v>18</v>
      </c>
    </row>
    <row r="6" spans="1:13" x14ac:dyDescent="0.2">
      <c r="A6" t="s">
        <v>10</v>
      </c>
      <c r="B6">
        <v>0.9</v>
      </c>
      <c r="C6">
        <v>0.1</v>
      </c>
      <c r="D6">
        <f>(B6*$L$2)/($M$2*(B6+C6)*0.001)</f>
        <v>17.341463414634148</v>
      </c>
      <c r="E6">
        <f t="shared" si="0"/>
        <v>5.5500000000000007</v>
      </c>
      <c r="F6">
        <f>$F$2*($D$2/D6)</f>
        <v>1111.1111111111109</v>
      </c>
      <c r="G6" t="s">
        <v>18</v>
      </c>
    </row>
    <row r="7" spans="1:13" x14ac:dyDescent="0.2">
      <c r="A7" t="s">
        <v>11</v>
      </c>
      <c r="B7">
        <v>0.95</v>
      </c>
      <c r="C7">
        <v>0.05</v>
      </c>
      <c r="D7">
        <f>(B7*$L$2)/($M$2*(B7+C7)*0.001)</f>
        <v>18.304878048780484</v>
      </c>
      <c r="E7">
        <f t="shared" si="0"/>
        <v>2.7750000000000004</v>
      </c>
      <c r="F7">
        <f>$F$2*($D$2/D7)</f>
        <v>1052.6315789473688</v>
      </c>
      <c r="G7" t="s">
        <v>18</v>
      </c>
    </row>
    <row r="16" spans="1:13" x14ac:dyDescent="0.2">
      <c r="A16" t="s">
        <v>0</v>
      </c>
      <c r="B16" t="s">
        <v>1</v>
      </c>
      <c r="C16" t="s">
        <v>2</v>
      </c>
      <c r="D16">
        <v>1000</v>
      </c>
      <c r="E16">
        <v>1000</v>
      </c>
      <c r="G16" t="s">
        <v>3</v>
      </c>
    </row>
    <row r="17" spans="1:8" x14ac:dyDescent="0.2">
      <c r="A17" t="s">
        <v>5</v>
      </c>
      <c r="B17">
        <v>0.25</v>
      </c>
      <c r="C17">
        <f>0.25-B17</f>
        <v>0</v>
      </c>
      <c r="D17">
        <v>0</v>
      </c>
      <c r="E17">
        <v>0</v>
      </c>
      <c r="F17">
        <f>600</f>
        <v>600</v>
      </c>
      <c r="H17" t="s">
        <v>18</v>
      </c>
    </row>
    <row r="18" spans="1:8" x14ac:dyDescent="0.2">
      <c r="A18" t="s">
        <v>19</v>
      </c>
      <c r="B18">
        <f>B17*D18/F18</f>
        <v>0.125</v>
      </c>
      <c r="C18">
        <f>C21*E18/F18</f>
        <v>0.125</v>
      </c>
      <c r="D18">
        <v>300</v>
      </c>
      <c r="E18">
        <f t="shared" ref="E18:E22" si="1">F18-D18</f>
        <v>300</v>
      </c>
      <c r="F18">
        <v>600</v>
      </c>
      <c r="H18" t="s">
        <v>18</v>
      </c>
    </row>
    <row r="19" spans="1:8" x14ac:dyDescent="0.2">
      <c r="A19" t="s">
        <v>20</v>
      </c>
      <c r="B19">
        <f>B17*D19/F19</f>
        <v>0.16666666666666666</v>
      </c>
      <c r="C19">
        <f>C21*E19/F19</f>
        <v>8.3333333333333329E-2</v>
      </c>
      <c r="D19">
        <v>400</v>
      </c>
      <c r="E19">
        <f t="shared" si="1"/>
        <v>200</v>
      </c>
      <c r="F19">
        <v>600</v>
      </c>
      <c r="H19" t="s">
        <v>18</v>
      </c>
    </row>
    <row r="20" spans="1:8" x14ac:dyDescent="0.2">
      <c r="A20" t="s">
        <v>21</v>
      </c>
      <c r="B20">
        <f>B17*D20/F20</f>
        <v>8.3333333333333329E-2</v>
      </c>
      <c r="C20">
        <f>C21*E20/F20</f>
        <v>0.16666666666666666</v>
      </c>
      <c r="D20">
        <v>200</v>
      </c>
      <c r="E20">
        <f t="shared" si="1"/>
        <v>400</v>
      </c>
      <c r="F20">
        <v>600</v>
      </c>
      <c r="H20" t="s">
        <v>28</v>
      </c>
    </row>
    <row r="21" spans="1:8" x14ac:dyDescent="0.2">
      <c r="A21" t="s">
        <v>6</v>
      </c>
      <c r="B21">
        <v>0</v>
      </c>
      <c r="C21">
        <v>0.25</v>
      </c>
      <c r="D21">
        <v>0</v>
      </c>
      <c r="E21">
        <v>0</v>
      </c>
      <c r="F21">
        <v>600</v>
      </c>
      <c r="H21" t="s">
        <v>18</v>
      </c>
    </row>
    <row r="22" spans="1:8" x14ac:dyDescent="0.2">
      <c r="D22">
        <f>D16-(SUM(D17:D21))</f>
        <v>100</v>
      </c>
      <c r="E22">
        <f>E16-(SUM(E17:E21))</f>
        <v>100</v>
      </c>
    </row>
    <row r="23" spans="1:8" x14ac:dyDescent="0.2">
      <c r="A23" t="s">
        <v>25</v>
      </c>
      <c r="B23">
        <f>B$17*D23/$F$21</f>
        <v>0</v>
      </c>
      <c r="C23">
        <f>C$21*E23/$F$21</f>
        <v>4.1666666666666664E-2</v>
      </c>
      <c r="D23">
        <v>0</v>
      </c>
      <c r="E23">
        <v>100</v>
      </c>
      <c r="F23">
        <v>600</v>
      </c>
      <c r="H23" t="s">
        <v>28</v>
      </c>
    </row>
    <row r="24" spans="1:8" x14ac:dyDescent="0.2">
      <c r="A24" t="s">
        <v>22</v>
      </c>
      <c r="B24">
        <f>B$17*D24/$F$21</f>
        <v>4.1666666666666664E-2</v>
      </c>
      <c r="C24">
        <f>C$21*E24/$F$21</f>
        <v>0</v>
      </c>
      <c r="D24">
        <v>100</v>
      </c>
      <c r="E24">
        <v>0</v>
      </c>
      <c r="F24">
        <v>600</v>
      </c>
      <c r="H24" t="s">
        <v>28</v>
      </c>
    </row>
    <row r="26" spans="1:8" x14ac:dyDescent="0.2">
      <c r="A26" t="s">
        <v>23</v>
      </c>
      <c r="B26">
        <f>B23*D26/$F26</f>
        <v>0</v>
      </c>
      <c r="C26">
        <f>C23*E26/$F26</f>
        <v>6.9444444444444432E-3</v>
      </c>
      <c r="D26">
        <v>0</v>
      </c>
      <c r="E26">
        <v>100</v>
      </c>
      <c r="F26">
        <v>600</v>
      </c>
      <c r="G26">
        <f>F26-(SUM(D26:E26))</f>
        <v>500</v>
      </c>
    </row>
    <row r="27" spans="1:8" x14ac:dyDescent="0.2">
      <c r="A27" t="s">
        <v>24</v>
      </c>
      <c r="B27">
        <f>B24*D27/$F27</f>
        <v>6.9444444444444432E-3</v>
      </c>
      <c r="C27">
        <f>C24*E27/$F27</f>
        <v>0</v>
      </c>
      <c r="D27">
        <v>100</v>
      </c>
      <c r="E27">
        <v>0</v>
      </c>
      <c r="F27">
        <v>600</v>
      </c>
      <c r="G27">
        <f>F27-(SUM(D27:E27))</f>
        <v>500</v>
      </c>
    </row>
    <row r="29" spans="1:8" x14ac:dyDescent="0.2">
      <c r="A29" t="s">
        <v>26</v>
      </c>
      <c r="B29">
        <f>B26*D29/$F29</f>
        <v>0</v>
      </c>
      <c r="C29">
        <f>C26*E29/$F29</f>
        <v>1.1574074074074071E-3</v>
      </c>
      <c r="D29">
        <v>0</v>
      </c>
      <c r="E29">
        <v>100</v>
      </c>
      <c r="F29">
        <v>600</v>
      </c>
      <c r="G29">
        <f t="shared" ref="G28:G30" si="2">F29-(SUM(D29:E29))</f>
        <v>500</v>
      </c>
    </row>
    <row r="30" spans="1:8" x14ac:dyDescent="0.2">
      <c r="A30" t="s">
        <v>27</v>
      </c>
      <c r="B30">
        <f>B27*D30/$F30</f>
        <v>1.1574074074074071E-3</v>
      </c>
      <c r="C30">
        <f>C27*E30/$F30</f>
        <v>0</v>
      </c>
      <c r="D30">
        <v>100</v>
      </c>
      <c r="E30">
        <v>0</v>
      </c>
      <c r="F30">
        <v>600</v>
      </c>
      <c r="G30">
        <f t="shared" si="2"/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Savino</dc:creator>
  <cp:lastModifiedBy>Elia Savino</cp:lastModifiedBy>
  <dcterms:created xsi:type="dcterms:W3CDTF">2024-12-19T08:34:51Z</dcterms:created>
  <dcterms:modified xsi:type="dcterms:W3CDTF">2024-12-23T17:52:10Z</dcterms:modified>
</cp:coreProperties>
</file>